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nfigs_Agents\OpenCode\"/>
    </mc:Choice>
  </mc:AlternateContent>
  <xr:revisionPtr revIDLastSave="0" documentId="13_ncr:1_{FADE6403-4530-4FAF-92D8-0339E94B72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Artificial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F8" i="1"/>
  <c r="E8" i="1"/>
  <c r="E11" i="1"/>
  <c r="F11" i="1"/>
  <c r="I11" i="1"/>
  <c r="J11" i="1"/>
  <c r="F2" i="1"/>
  <c r="B17" i="1"/>
  <c r="J2" i="1"/>
  <c r="I2" i="1"/>
  <c r="J10" i="1"/>
  <c r="I10" i="1"/>
  <c r="J6" i="1"/>
  <c r="I6" i="1"/>
  <c r="J5" i="1"/>
  <c r="I5" i="1"/>
  <c r="J12" i="1"/>
  <c r="I12" i="1"/>
  <c r="J3" i="1"/>
  <c r="I3" i="1"/>
  <c r="J7" i="1"/>
  <c r="I7" i="1"/>
  <c r="J9" i="1"/>
  <c r="I9" i="1"/>
  <c r="J4" i="1"/>
  <c r="I4" i="1"/>
  <c r="J14" i="1"/>
  <c r="I14" i="1"/>
  <c r="J13" i="1"/>
  <c r="I13" i="1"/>
  <c r="L8" i="1" l="1"/>
  <c r="L11" i="1"/>
  <c r="K11" i="1"/>
  <c r="K8" i="1"/>
  <c r="E6" i="1"/>
  <c r="K6" i="1" s="1"/>
  <c r="E5" i="1"/>
  <c r="K5" i="1" s="1"/>
  <c r="E7" i="1"/>
  <c r="K7" i="1" s="1"/>
  <c r="E9" i="1"/>
  <c r="K9" i="1" s="1"/>
  <c r="E4" i="1"/>
  <c r="K4" i="1" s="1"/>
  <c r="F12" i="1"/>
  <c r="L12" i="1" s="1"/>
  <c r="F10" i="1"/>
  <c r="L10" i="1" s="1"/>
  <c r="F6" i="1"/>
  <c r="L6" i="1" s="1"/>
  <c r="F5" i="1"/>
  <c r="L5" i="1" s="1"/>
  <c r="F4" i="1"/>
  <c r="L4" i="1" s="1"/>
  <c r="F3" i="1"/>
  <c r="L3" i="1" s="1"/>
  <c r="F7" i="1"/>
  <c r="L7" i="1" s="1"/>
  <c r="F9" i="1"/>
  <c r="L9" i="1" s="1"/>
  <c r="E13" i="1"/>
  <c r="K13" i="1" s="1"/>
  <c r="E2" i="1"/>
  <c r="K2" i="1" s="1"/>
  <c r="F14" i="1"/>
  <c r="L14" i="1" s="1"/>
  <c r="E10" i="1"/>
  <c r="K10" i="1" s="1"/>
  <c r="E12" i="1"/>
  <c r="K12" i="1" s="1"/>
  <c r="E3" i="1"/>
  <c r="K3" i="1" s="1"/>
  <c r="E14" i="1"/>
  <c r="K14" i="1" s="1"/>
  <c r="F13" i="1"/>
  <c r="L13" i="1" s="1"/>
  <c r="L2" i="1"/>
</calcChain>
</file>

<file path=xl/sharedStrings.xml><?xml version="1.0" encoding="utf-8"?>
<sst xmlns="http://schemas.openxmlformats.org/spreadsheetml/2006/main" count="50" uniqueCount="33">
  <si>
    <t>requests per 5 hour</t>
  </si>
  <si>
    <t>requests per week</t>
  </si>
  <si>
    <t>requests per month</t>
  </si>
  <si>
    <t>GLM-5.1</t>
  </si>
  <si>
    <t>Kimi K2.6</t>
  </si>
  <si>
    <t>Kimi K2.7 Code</t>
  </si>
  <si>
    <t>MiMo-V2.5</t>
  </si>
  <si>
    <t>MiMo-V2.5-Pro</t>
  </si>
  <si>
    <t>MiniMax M3</t>
  </si>
  <si>
    <t>MiniMax M2.7</t>
  </si>
  <si>
    <t>Qwen3.7 Max</t>
  </si>
  <si>
    <t>Qwen3.7 Plus</t>
  </si>
  <si>
    <t>Qwen3.6 Plus</t>
  </si>
  <si>
    <t>DeepSeek V4 Pro</t>
  </si>
  <si>
    <t>DeepSeek V4 Flash</t>
  </si>
  <si>
    <t>Model</t>
  </si>
  <si>
    <t>Column1</t>
  </si>
  <si>
    <t>Coding</t>
  </si>
  <si>
    <t>kodlama oranı</t>
  </si>
  <si>
    <t>kota oranı</t>
  </si>
  <si>
    <t>norm kod</t>
  </si>
  <si>
    <t>norm kota 5</t>
  </si>
  <si>
    <t>EK böl kota 6</t>
  </si>
  <si>
    <t>EK Böl Kod</t>
  </si>
  <si>
    <t>norm</t>
  </si>
  <si>
    <t>GLM-5.2</t>
  </si>
  <si>
    <t>GLM-5.2 (max)</t>
  </si>
  <si>
    <t>MiniMax-M3</t>
  </si>
  <si>
    <t>DeepSeek V4 Pro (max)</t>
  </si>
  <si>
    <t>DeepSeek V4 Flash (max)</t>
  </si>
  <si>
    <t>MiniMax-M2.7</t>
  </si>
  <si>
    <t>Intelligence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</si>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</sst>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4">
    <dxf>
      <numFmt numFmtId="164" formatCode="#,##0.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164" formatCode="#,##0.0"/>
    </dxf>
    <dxf>
      <numFmt numFmtId="4" formatCode="#,##0.00"/>
    </dxf>
    <dxf>
      <numFmt numFmtId="166" formatCode="0.0"/>
    </dxf>
    <dxf>
      <numFmt numFmtId="165" formatCode="0.00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859BB-9B9A-4EC2-A38E-BACA98F6B13E}" name="Table1" displayName="Table1" ref="A1:L14" totalsRowShown="0">
  <autoFilter ref="A1:L14" xr:uid="{CC3859BB-9B9A-4EC2-A38E-BACA98F6B13E}"/>
  <sortState xmlns:xlrd2="http://schemas.microsoft.com/office/spreadsheetml/2017/richdata2" ref="A2:L14">
    <sortCondition descending="1" ref="L1:L14"/>
  </sortState>
  <tableColumns count="12">
    <tableColumn id="1" xr3:uid="{4558084D-BFD3-4096-990D-BABDB4A3F9A5}" name="Model"/>
    <tableColumn id="2" xr3:uid="{77DF4AD7-27A3-4A22-84ED-536798D59DFB}" name="requests per 5 hour" dataDxfId="13"/>
    <tableColumn id="3" xr3:uid="{968D85ED-4421-4AB0-AE6D-E50ECE878D7F}" name="requests per week" dataDxfId="12"/>
    <tableColumn id="4" xr3:uid="{389CEFA6-A786-416D-9098-1BF29A227B30}" name="requests per month" dataDxfId="11"/>
    <tableColumn id="9" xr3:uid="{98FE1845-9B6F-44C3-A0B3-7C65A82D1700}" name="norm kota 5" dataDxfId="10">
      <calculatedColumnFormula>(Table1[[#This Row],[requests per month]]-MIN(Table1[requests per month]))/(MAX(Table1[requests per month])-MIN(Table1[requests per month]))</calculatedColumnFormula>
    </tableColumn>
    <tableColumn id="12" xr3:uid="{5D7E2A26-E549-4CFD-B043-F0481B5110F6}" name="EK böl kota 6" dataDxfId="9">
      <calculatedColumnFormula>Table1[[#This Row],[requests per month]]/MIN(Table1[requests per month])</calculatedColumnFormula>
    </tableColumn>
    <tableColumn id="6" xr3:uid="{EB1EE3D7-51B5-45D4-94BD-7E18987D18E7}" name="Intelligence" dataDxfId="1"/>
    <tableColumn id="5" xr3:uid="{D33AC59D-2F81-400A-BD0D-DB990B819EAB}" name="Coding" dataDxfId="0"/>
    <tableColumn id="11" xr3:uid="{9BC67038-D32E-487A-B892-E1CBD2D5A5C1}" name="norm kod" dataDxfId="8">
      <calculatedColumnFormula>((Table1[[#This Row],[Coding]] - MIN(Table1[Coding])) / (MAX(Table1[Coding]) - MIN(Table1[Coding])))</calculatedColumnFormula>
    </tableColumn>
    <tableColumn id="13" xr3:uid="{1DBCEBD9-B051-4EC1-871D-57D21FFF0BCC}" name="EK Böl Kod" dataDxfId="7">
      <calculatedColumnFormula>Table1[[#This Row],[Coding]]/ MIN(Table1[Coding])</calculatedColumnFormula>
    </tableColumn>
    <tableColumn id="10" xr3:uid="{EDE10E07-3FEB-4504-8C05-B05E66499132}" name="norm" dataDxfId="6">
      <calculatedColumnFormula>$B$17*Table1[[#This Row],[norm kota 5]]+$B$16*Table1[[#This Row],[norm kod]]</calculatedColumnFormula>
    </tableColumn>
    <tableColumn id="14" xr3:uid="{3B61D66B-5DEA-4B74-AF9F-DE1BA05DA990}" name="Column1" dataDxfId="5">
      <calculatedColumnFormula>Table1[[#This Row],[EK böl kota 6]]*EXP(Table1[[#This Row],[EK Böl Kod]]*10)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A2C6D8-E425-48A2-9791-4CC58FDD9323}" name="Table3" displayName="Table3" ref="A1:C14" totalsRowShown="0">
  <autoFilter ref="A1:C14" xr:uid="{B1A2C6D8-E425-48A2-9791-4CC58FDD9323}"/>
  <sortState xmlns:xlrd2="http://schemas.microsoft.com/office/spreadsheetml/2017/richdata2" ref="A2:C14">
    <sortCondition ref="A1:A14"/>
  </sortState>
  <tableColumns count="3">
    <tableColumn id="1" xr3:uid="{F70AD1CB-BF1B-456C-89F9-F7F05A62C0B2}" name="Model" dataDxfId="2"/>
    <tableColumn id="2" xr3:uid="{AB274D46-C44C-4532-B610-E18FDE2EDCA8}" name="Intelligence" dataDxfId="3"/>
    <tableColumn id="3" xr3:uid="{68060333-0096-47A0-B7E1-CC2B0C9BC864}" name="Coding" dataDxf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13" zoomScale="160" zoomScaleNormal="160" workbookViewId="0">
      <selection activeCell="A19" sqref="A19:A26"/>
    </sheetView>
  </sheetViews>
  <sheetFormatPr defaultRowHeight="14.4" x14ac:dyDescent="0.3"/>
  <cols>
    <col min="1" max="1" width="16.21875" bestFit="1" customWidth="1"/>
    <col min="2" max="2" width="9.44140625" customWidth="1"/>
    <col min="5" max="5" width="9.109375" customWidth="1"/>
    <col min="6" max="6" width="10.44140625" customWidth="1"/>
    <col min="9" max="10" width="10.77734375" customWidth="1"/>
    <col min="11" max="11" width="10.88671875" customWidth="1"/>
    <col min="12" max="12" width="12.109375" customWidth="1"/>
    <col min="13" max="13" width="13.6640625" customWidth="1"/>
    <col min="15" max="15" width="12.109375" customWidth="1"/>
  </cols>
  <sheetData>
    <row r="1" spans="1:12" x14ac:dyDescent="0.3">
      <c r="A1" t="s">
        <v>15</v>
      </c>
      <c r="B1" t="s">
        <v>0</v>
      </c>
      <c r="C1" t="s">
        <v>1</v>
      </c>
      <c r="D1" t="s">
        <v>2</v>
      </c>
      <c r="E1" t="s">
        <v>21</v>
      </c>
      <c r="F1" t="s">
        <v>22</v>
      </c>
      <c r="G1" t="s">
        <v>31</v>
      </c>
      <c r="H1" t="s">
        <v>17</v>
      </c>
      <c r="I1" t="s">
        <v>20</v>
      </c>
      <c r="J1" t="s">
        <v>23</v>
      </c>
      <c r="K1" t="s">
        <v>24</v>
      </c>
      <c r="L1" t="s">
        <v>16</v>
      </c>
    </row>
    <row r="2" spans="1:12" x14ac:dyDescent="0.3">
      <c r="A2" t="s">
        <v>6</v>
      </c>
      <c r="B2" s="1">
        <v>30100</v>
      </c>
      <c r="C2" s="1">
        <v>75200</v>
      </c>
      <c r="D2" s="1">
        <v>150400</v>
      </c>
      <c r="E2" s="4">
        <f>(Table1[[#This Row],[requests per month]]-MIN(Table1[requests per month]))/(MAX(Table1[requests per month])-MIN(Table1[requests per month]))</f>
        <v>0.94962625934351641</v>
      </c>
      <c r="F2" s="5">
        <f>Table1[[#This Row],[requests per month]]/MIN(Table1[requests per month])</f>
        <v>34.97674418604651</v>
      </c>
      <c r="G2" s="6">
        <v>40</v>
      </c>
      <c r="H2" s="6">
        <v>60.7</v>
      </c>
      <c r="I2" s="3">
        <f>((Table1[[#This Row],[Coding]] - MIN(Table1[Coding])) / (MAX(Table1[Coding]) - MIN(Table1[Coding])))</f>
        <v>0.50000000000000022</v>
      </c>
      <c r="J2" s="2">
        <f>Table1[[#This Row],[Coding]]/ MIN(Table1[Coding])</f>
        <v>1.1539923954372624</v>
      </c>
      <c r="K2" s="3">
        <f>$B$17*Table1[[#This Row],[norm kota 5]]+$B$16*Table1[[#This Row],[norm kod]]</f>
        <v>0.72481312967175837</v>
      </c>
      <c r="L2" s="3">
        <f>Table1[[#This Row],[EK böl kota 6]]*EXP(Table1[[#This Row],[EK Böl Kod]]*10)</f>
        <v>3593392.6540494892</v>
      </c>
    </row>
    <row r="3" spans="1:12" x14ac:dyDescent="0.3">
      <c r="A3" t="s">
        <v>14</v>
      </c>
      <c r="B3" s="1">
        <v>31650</v>
      </c>
      <c r="C3" s="1">
        <v>79050</v>
      </c>
      <c r="D3" s="1">
        <v>158150</v>
      </c>
      <c r="E3" s="4">
        <f>(Table1[[#This Row],[requests per month]]-MIN(Table1[requests per month]))/(MAX(Table1[requests per month])-MIN(Table1[requests per month]))</f>
        <v>1</v>
      </c>
      <c r="F3" s="5">
        <f>Table1[[#This Row],[requests per month]]/MIN(Table1[requests per month])</f>
        <v>36.779069767441861</v>
      </c>
      <c r="G3" s="6">
        <v>40</v>
      </c>
      <c r="H3" s="6">
        <v>56.2</v>
      </c>
      <c r="I3" s="3">
        <f>((Table1[[#This Row],[Coding]] - MIN(Table1[Coding])) / (MAX(Table1[Coding]) - MIN(Table1[Coding])))</f>
        <v>0.22222222222222238</v>
      </c>
      <c r="J3" s="2">
        <f>Table1[[#This Row],[Coding]]/ MIN(Table1[Coding])</f>
        <v>1.0684410646387832</v>
      </c>
      <c r="K3" s="3">
        <f>$B$17*Table1[[#This Row],[norm kota 5]]+$B$16*Table1[[#This Row],[norm kod]]</f>
        <v>0.61111111111111116</v>
      </c>
      <c r="L3" s="3">
        <f>Table1[[#This Row],[EK böl kota 6]]*EXP(Table1[[#This Row],[EK Böl Kod]]*10)</f>
        <v>1606132.3397738335</v>
      </c>
    </row>
    <row r="4" spans="1:12" x14ac:dyDescent="0.3">
      <c r="A4" t="s">
        <v>25</v>
      </c>
      <c r="B4" s="1">
        <v>880</v>
      </c>
      <c r="C4" s="1">
        <v>2150</v>
      </c>
      <c r="D4" s="1">
        <v>4300</v>
      </c>
      <c r="E4" s="4">
        <f>(Table1[[#This Row],[requests per month]]-MIN(Table1[requests per month]))/(MAX(Table1[requests per month])-MIN(Table1[requests per month]))</f>
        <v>0</v>
      </c>
      <c r="F4" s="5">
        <f>Table1[[#This Row],[requests per month]]/MIN(Table1[requests per month])</f>
        <v>1</v>
      </c>
      <c r="G4" s="6">
        <v>51</v>
      </c>
      <c r="H4" s="6">
        <v>68.8</v>
      </c>
      <c r="I4" s="3">
        <f>((Table1[[#This Row],[Coding]] - MIN(Table1[Coding])) / (MAX(Table1[Coding]) - MIN(Table1[Coding])))</f>
        <v>1</v>
      </c>
      <c r="J4" s="2">
        <f>Table1[[#This Row],[Coding]]/ MIN(Table1[Coding])</f>
        <v>1.3079847908745246</v>
      </c>
      <c r="K4" s="3">
        <f>$B$17*Table1[[#This Row],[norm kota 5]]+$B$16*Table1[[#This Row],[norm kod]]</f>
        <v>0.5</v>
      </c>
      <c r="L4" s="3">
        <f>Table1[[#This Row],[EK böl kota 6]]*EXP(Table1[[#This Row],[EK Böl Kod]]*10)</f>
        <v>479187.82031011395</v>
      </c>
    </row>
    <row r="5" spans="1:12" x14ac:dyDescent="0.3">
      <c r="A5" t="s">
        <v>7</v>
      </c>
      <c r="B5" s="1">
        <v>3250</v>
      </c>
      <c r="C5" s="1">
        <v>8150</v>
      </c>
      <c r="D5" s="1">
        <v>16300</v>
      </c>
      <c r="E5" s="4">
        <f>(Table1[[#This Row],[requests per month]]-MIN(Table1[requests per month]))/(MAX(Table1[requests per month])-MIN(Table1[requests per month]))</f>
        <v>7.7998050048748782E-2</v>
      </c>
      <c r="F5" s="5">
        <f>Table1[[#This Row],[requests per month]]/MIN(Table1[requests per month])</f>
        <v>3.7906976744186047</v>
      </c>
      <c r="G5" s="6">
        <v>42</v>
      </c>
      <c r="H5" s="6">
        <v>60.2</v>
      </c>
      <c r="I5" s="3">
        <f>((Table1[[#This Row],[Coding]] - MIN(Table1[Coding])) / (MAX(Table1[Coding]) - MIN(Table1[Coding])))</f>
        <v>0.469135802469136</v>
      </c>
      <c r="J5" s="2">
        <f>Table1[[#This Row],[Coding]]/ MIN(Table1[Coding])</f>
        <v>1.1444866920152093</v>
      </c>
      <c r="K5" s="3">
        <f>$B$17*Table1[[#This Row],[norm kota 5]]+$B$16*Table1[[#This Row],[norm kod]]</f>
        <v>0.27356692625894241</v>
      </c>
      <c r="L5" s="3">
        <f>Table1[[#This Row],[EK böl kota 6]]*EXP(Table1[[#This Row],[EK Böl Kod]]*10)</f>
        <v>354129.1674144339</v>
      </c>
    </row>
    <row r="6" spans="1:12" x14ac:dyDescent="0.3">
      <c r="A6" t="s">
        <v>13</v>
      </c>
      <c r="B6" s="1">
        <v>3450</v>
      </c>
      <c r="C6" s="1">
        <v>8550</v>
      </c>
      <c r="D6" s="1">
        <v>17150</v>
      </c>
      <c r="E6" s="4">
        <f>(Table1[[#This Row],[requests per month]]-MIN(Table1[requests per month]))/(MAX(Table1[requests per month])-MIN(Table1[requests per month]))</f>
        <v>8.3522911927201821E-2</v>
      </c>
      <c r="F6" s="5">
        <f>Table1[[#This Row],[requests per month]]/MIN(Table1[requests per month])</f>
        <v>3.9883720930232558</v>
      </c>
      <c r="G6" s="6">
        <v>44</v>
      </c>
      <c r="H6" s="6">
        <v>59.4</v>
      </c>
      <c r="I6" s="3">
        <f>((Table1[[#This Row],[Coding]] - MIN(Table1[Coding])) / (MAX(Table1[Coding]) - MIN(Table1[Coding])))</f>
        <v>0.41975308641975301</v>
      </c>
      <c r="J6" s="2">
        <f>Table1[[#This Row],[Coding]]/ MIN(Table1[Coding])</f>
        <v>1.1292775665399239</v>
      </c>
      <c r="K6" s="3">
        <f>$B$17*Table1[[#This Row],[norm kota 5]]+$B$16*Table1[[#This Row],[norm kod]]</f>
        <v>0.2516379991734774</v>
      </c>
      <c r="L6" s="3">
        <f>Table1[[#This Row],[EK böl kota 6]]*EXP(Table1[[#This Row],[EK Böl Kod]]*10)</f>
        <v>320026.41438157106</v>
      </c>
    </row>
    <row r="7" spans="1:12" x14ac:dyDescent="0.3">
      <c r="A7" t="s">
        <v>10</v>
      </c>
      <c r="B7" s="1">
        <v>950</v>
      </c>
      <c r="C7" s="1">
        <v>2390</v>
      </c>
      <c r="D7" s="1">
        <v>4770</v>
      </c>
      <c r="E7" s="4">
        <f>(Table1[[#This Row],[requests per month]]-MIN(Table1[requests per month]))/(MAX(Table1[requests per month])-MIN(Table1[requests per month]))</f>
        <v>3.0549236269093272E-3</v>
      </c>
      <c r="F7" s="5">
        <f>Table1[[#This Row],[requests per month]]/MIN(Table1[requests per month])</f>
        <v>1.1093023255813954</v>
      </c>
      <c r="G7" s="6">
        <v>46</v>
      </c>
      <c r="H7" s="6">
        <v>66</v>
      </c>
      <c r="I7" s="3">
        <f>((Table1[[#This Row],[Coding]] - MIN(Table1[Coding])) / (MAX(Table1[Coding]) - MIN(Table1[Coding])))</f>
        <v>0.82716049382716061</v>
      </c>
      <c r="J7" s="2">
        <f>Table1[[#This Row],[Coding]]/ MIN(Table1[Coding])</f>
        <v>1.2547528517110267</v>
      </c>
      <c r="K7" s="3">
        <f>$B$17*Table1[[#This Row],[norm kota 5]]+$B$16*Table1[[#This Row],[norm kod]]</f>
        <v>0.41510770872703495</v>
      </c>
      <c r="L7" s="3">
        <f>Table1[[#This Row],[EK böl kota 6]]*EXP(Table1[[#This Row],[EK Böl Kod]]*10)</f>
        <v>312156.45496074983</v>
      </c>
    </row>
    <row r="8" spans="1:12" x14ac:dyDescent="0.3">
      <c r="A8" t="s">
        <v>8</v>
      </c>
      <c r="B8" s="1">
        <v>3200</v>
      </c>
      <c r="C8" s="1">
        <v>8000</v>
      </c>
      <c r="D8" s="1">
        <v>16000</v>
      </c>
      <c r="E8" s="4">
        <f>(Table1[[#This Row],[requests per month]]-MIN(Table1[requests per month]))/(MAX(Table1[requests per month])-MIN(Table1[requests per month]))</f>
        <v>7.6048098797530064E-2</v>
      </c>
      <c r="F8" s="5">
        <f>Table1[[#This Row],[requests per month]]/MIN(Table1[requests per month])</f>
        <v>3.7209302325581395</v>
      </c>
      <c r="G8" s="6">
        <v>44</v>
      </c>
      <c r="H8" s="6">
        <v>58.6</v>
      </c>
      <c r="I8" s="3">
        <f>((Table1[[#This Row],[Coding]] - MIN(Table1[Coding])) / (MAX(Table1[Coding]) - MIN(Table1[Coding])))</f>
        <v>0.37037037037037046</v>
      </c>
      <c r="J8" s="2">
        <f>Table1[[#This Row],[Coding]]/ MIN(Table1[Coding])</f>
        <v>1.1140684410646389</v>
      </c>
      <c r="K8" s="3">
        <f>$B$17*Table1[[#This Row],[norm kota 5]]+$B$16*Table1[[#This Row],[norm kod]]</f>
        <v>0.22320923458395026</v>
      </c>
      <c r="L8" s="3">
        <f>Table1[[#This Row],[EK böl kota 6]]*EXP(Table1[[#This Row],[EK Böl Kod]]*10)</f>
        <v>256442.08027163282</v>
      </c>
    </row>
    <row r="9" spans="1:12" x14ac:dyDescent="0.3">
      <c r="A9" t="s">
        <v>5</v>
      </c>
      <c r="B9" s="1">
        <v>1350</v>
      </c>
      <c r="C9" s="1">
        <v>4630</v>
      </c>
      <c r="D9" s="1">
        <v>9250</v>
      </c>
      <c r="E9" s="4">
        <f>(Table1[[#This Row],[requests per month]]-MIN(Table1[requests per month]))/(MAX(Table1[requests per month])-MIN(Table1[requests per month]))</f>
        <v>3.2174195645108872E-2</v>
      </c>
      <c r="F9" s="5">
        <f>Table1[[#This Row],[requests per month]]/MIN(Table1[requests per month])</f>
        <v>2.1511627906976742</v>
      </c>
      <c r="G9" s="6">
        <v>42</v>
      </c>
      <c r="H9" s="6">
        <v>60.8</v>
      </c>
      <c r="I9" s="3">
        <f>((Table1[[#This Row],[Coding]] - MIN(Table1[Coding])) / (MAX(Table1[Coding]) - MIN(Table1[Coding])))</f>
        <v>0.50617283950617276</v>
      </c>
      <c r="J9" s="2">
        <f>Table1[[#This Row],[Coding]]/ MIN(Table1[Coding])</f>
        <v>1.1558935361216729</v>
      </c>
      <c r="K9" s="3">
        <f>$B$17*Table1[[#This Row],[norm kota 5]]+$B$16*Table1[[#This Row],[norm kod]]</f>
        <v>0.26917351757564079</v>
      </c>
      <c r="L9" s="3">
        <f>Table1[[#This Row],[EK böl kota 6]]*EXP(Table1[[#This Row],[EK Böl Kod]]*10)</f>
        <v>225244.9802630429</v>
      </c>
    </row>
    <row r="10" spans="1:12" x14ac:dyDescent="0.3">
      <c r="A10" t="s">
        <v>11</v>
      </c>
      <c r="B10" s="1">
        <v>4300</v>
      </c>
      <c r="C10" s="1">
        <v>10800</v>
      </c>
      <c r="D10" s="1">
        <v>21600</v>
      </c>
      <c r="E10" s="4">
        <f>(Table1[[#This Row],[requests per month]]-MIN(Table1[requests per month]))/(MAX(Table1[requests per month])-MIN(Table1[requests per month]))</f>
        <v>0.11244718882027949</v>
      </c>
      <c r="F10" s="5">
        <f>Table1[[#This Row],[requests per month]]/MIN(Table1[requests per month])</f>
        <v>5.0232558139534884</v>
      </c>
      <c r="G10" s="6">
        <v>39</v>
      </c>
      <c r="H10" s="6">
        <v>55.9</v>
      </c>
      <c r="I10" s="3">
        <f>((Table1[[#This Row],[Coding]] - MIN(Table1[Coding])) / (MAX(Table1[Coding]) - MIN(Table1[Coding])))</f>
        <v>0.20370370370370358</v>
      </c>
      <c r="J10" s="2">
        <f>Table1[[#This Row],[Coding]]/ MIN(Table1[Coding])</f>
        <v>1.0627376425855513</v>
      </c>
      <c r="K10" s="3">
        <f>$B$17*Table1[[#This Row],[norm kota 5]]+$B$16*Table1[[#This Row],[norm kod]]</f>
        <v>0.15807544626199155</v>
      </c>
      <c r="L10" s="3">
        <f>Table1[[#This Row],[EK böl kota 6]]*EXP(Table1[[#This Row],[EK Böl Kod]]*10)</f>
        <v>207203.09320386467</v>
      </c>
    </row>
    <row r="11" spans="1:12" x14ac:dyDescent="0.3">
      <c r="A11" t="s">
        <v>4</v>
      </c>
      <c r="B11" s="1">
        <v>1150</v>
      </c>
      <c r="C11" s="1">
        <v>2880</v>
      </c>
      <c r="D11" s="1">
        <v>5750</v>
      </c>
      <c r="E11" s="4">
        <f>(Table1[[#This Row],[requests per month]]-MIN(Table1[requests per month]))/(MAX(Table1[requests per month])-MIN(Table1[requests per month]))</f>
        <v>9.4247643808904775E-3</v>
      </c>
      <c r="F11" s="5">
        <f>Table1[[#This Row],[requests per month]]/MIN(Table1[requests per month])</f>
        <v>1.3372093023255813</v>
      </c>
      <c r="G11" s="6">
        <v>44</v>
      </c>
      <c r="H11" s="6">
        <v>61.8</v>
      </c>
      <c r="I11" s="3">
        <f>((Table1[[#This Row],[Coding]] - MIN(Table1[Coding])) / (MAX(Table1[Coding]) - MIN(Table1[Coding])))</f>
        <v>0.56790123456790109</v>
      </c>
      <c r="J11" s="2">
        <f>Table1[[#This Row],[Coding]]/ MIN(Table1[Coding])</f>
        <v>1.1749049429657794</v>
      </c>
      <c r="K11" s="3">
        <f>$B$17*Table1[[#This Row],[norm kota 5]]+$B$16*Table1[[#This Row],[norm kod]]</f>
        <v>0.28866299947439578</v>
      </c>
      <c r="L11" s="3">
        <f>Table1[[#This Row],[EK böl kota 6]]*EXP(Table1[[#This Row],[EK Böl Kod]]*10)</f>
        <v>169334.99685100917</v>
      </c>
    </row>
    <row r="12" spans="1:12" x14ac:dyDescent="0.3">
      <c r="A12" t="s">
        <v>12</v>
      </c>
      <c r="B12" s="1">
        <v>3300</v>
      </c>
      <c r="C12" s="1">
        <v>8200</v>
      </c>
      <c r="D12" s="1">
        <v>16300</v>
      </c>
      <c r="E12" s="4">
        <f>(Table1[[#This Row],[requests per month]]-MIN(Table1[requests per month]))/(MAX(Table1[requests per month])-MIN(Table1[requests per month]))</f>
        <v>7.7998050048748782E-2</v>
      </c>
      <c r="F12" s="5">
        <f>Table1[[#This Row],[requests per month]]/MIN(Table1[requests per month])</f>
        <v>3.7906976744186047</v>
      </c>
      <c r="G12" s="6">
        <v>40</v>
      </c>
      <c r="H12" s="6">
        <v>54.5</v>
      </c>
      <c r="I12" s="3">
        <f>((Table1[[#This Row],[Coding]] - MIN(Table1[Coding])) / (MAX(Table1[Coding]) - MIN(Table1[Coding])))</f>
        <v>0.11728395061728389</v>
      </c>
      <c r="J12" s="2">
        <f>Table1[[#This Row],[Coding]]/ MIN(Table1[Coding])</f>
        <v>1.0361216730038023</v>
      </c>
      <c r="K12" s="3">
        <f>$B$17*Table1[[#This Row],[norm kota 5]]+$B$16*Table1[[#This Row],[norm kod]]</f>
        <v>9.7641000333016342E-2</v>
      </c>
      <c r="L12" s="3">
        <f>Table1[[#This Row],[EK böl kota 6]]*EXP(Table1[[#This Row],[EK Böl Kod]]*10)</f>
        <v>119822.50660230288</v>
      </c>
    </row>
    <row r="13" spans="1:12" x14ac:dyDescent="0.3">
      <c r="A13" t="s">
        <v>9</v>
      </c>
      <c r="B13" s="1">
        <v>3400</v>
      </c>
      <c r="C13" s="1">
        <v>8500</v>
      </c>
      <c r="D13" s="1">
        <v>17000</v>
      </c>
      <c r="E13" s="4">
        <f>(Table1[[#This Row],[requests per month]]-MIN(Table1[requests per month]))/(MAX(Table1[requests per month])-MIN(Table1[requests per month]))</f>
        <v>8.2547936301592462E-2</v>
      </c>
      <c r="F13" s="5">
        <f>Table1[[#This Row],[requests per month]]/MIN(Table1[requests per month])</f>
        <v>3.9534883720930232</v>
      </c>
      <c r="G13" s="6">
        <v>38</v>
      </c>
      <c r="H13" s="6">
        <v>52.6</v>
      </c>
      <c r="I13" s="3">
        <f>((Table1[[#This Row],[Coding]] - MIN(Table1[Coding])) / (MAX(Table1[Coding]) - MIN(Table1[Coding])))</f>
        <v>0</v>
      </c>
      <c r="J13" s="2">
        <f>Table1[[#This Row],[Coding]]/ MIN(Table1[Coding])</f>
        <v>1</v>
      </c>
      <c r="K13" s="3">
        <f>$B$17*Table1[[#This Row],[norm kota 5]]+$B$16*Table1[[#This Row],[norm kod]]</f>
        <v>4.1273968150796231E-2</v>
      </c>
      <c r="L13" s="3">
        <f>Table1[[#This Row],[EK böl kota 6]]*EXP(Table1[[#This Row],[EK Böl Kod]]*10)</f>
        <v>87081.376398073073</v>
      </c>
    </row>
    <row r="14" spans="1:12" x14ac:dyDescent="0.3">
      <c r="A14" t="s">
        <v>3</v>
      </c>
      <c r="B14" s="1">
        <v>880</v>
      </c>
      <c r="C14" s="1">
        <v>2150</v>
      </c>
      <c r="D14" s="1">
        <v>4300</v>
      </c>
      <c r="E14" s="4">
        <f>(Table1[[#This Row],[requests per month]]-MIN(Table1[requests per month]))/(MAX(Table1[requests per month])-MIN(Table1[requests per month]))</f>
        <v>0</v>
      </c>
      <c r="F14" s="5">
        <f>Table1[[#This Row],[requests per month]]/MIN(Table1[requests per month])</f>
        <v>1</v>
      </c>
      <c r="G14" s="6">
        <v>40</v>
      </c>
      <c r="H14" s="6">
        <v>55.8</v>
      </c>
      <c r="I14" s="3">
        <f>((Table1[[#This Row],[Coding]] - MIN(Table1[Coding])) / (MAX(Table1[Coding]) - MIN(Table1[Coding])))</f>
        <v>0.19753086419753066</v>
      </c>
      <c r="J14" s="2">
        <f>Table1[[#This Row],[Coding]]/ MIN(Table1[Coding])</f>
        <v>1.0608365019011405</v>
      </c>
      <c r="K14" s="3">
        <f>$B$17*Table1[[#This Row],[norm kota 5]]+$B$16*Table1[[#This Row],[norm kod]]</f>
        <v>9.8765432098765329E-2</v>
      </c>
      <c r="L14" s="3">
        <f>Table1[[#This Row],[EK böl kota 6]]*EXP(Table1[[#This Row],[EK Böl Kod]]*10)</f>
        <v>40471.974220948236</v>
      </c>
    </row>
    <row r="16" spans="1:12" x14ac:dyDescent="0.3">
      <c r="A16" t="s">
        <v>18</v>
      </c>
      <c r="B16">
        <v>0.5</v>
      </c>
    </row>
    <row r="17" spans="1:2" x14ac:dyDescent="0.3">
      <c r="A17" t="s">
        <v>19</v>
      </c>
      <c r="B17">
        <f>1-B16</f>
        <v>0.5</v>
      </c>
    </row>
    <row r="19" spans="1:2" x14ac:dyDescent="0.3">
      <c r="A19" t="s">
        <v>25</v>
      </c>
    </row>
    <row r="21" spans="1:2" x14ac:dyDescent="0.3">
      <c r="A21" t="s">
        <v>7</v>
      </c>
    </row>
    <row r="22" spans="1:2" x14ac:dyDescent="0.3">
      <c r="A22" t="s">
        <v>13</v>
      </c>
    </row>
    <row r="23" spans="1:2" x14ac:dyDescent="0.3">
      <c r="A23" t="s">
        <v>8</v>
      </c>
    </row>
    <row r="25" spans="1:2" x14ac:dyDescent="0.3">
      <c r="A25" t="s">
        <v>6</v>
      </c>
    </row>
    <row r="26" spans="1:2" x14ac:dyDescent="0.3">
      <c r="A26" t="s">
        <v>14</v>
      </c>
    </row>
  </sheetData>
  <phoneticPr fontId="1" type="noConversion"/>
  <conditionalFormatting sqref="D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E43A-694F-4F65-86E8-BFBA99593B09}">
  <dimension ref="A1:C14"/>
  <sheetViews>
    <sheetView zoomScale="160" zoomScaleNormal="160" workbookViewId="0">
      <selection activeCell="B2" sqref="B2:C14"/>
    </sheetView>
  </sheetViews>
  <sheetFormatPr defaultRowHeight="14.4" x14ac:dyDescent="0.3"/>
  <cols>
    <col min="1" max="1" width="21.44140625" bestFit="1" customWidth="1"/>
    <col min="2" max="2" width="12.88671875" bestFit="1" customWidth="1"/>
    <col min="3" max="3" width="9.109375" bestFit="1" customWidth="1"/>
  </cols>
  <sheetData>
    <row r="1" spans="1:3" x14ac:dyDescent="0.3">
      <c r="A1" s="7" t="s">
        <v>15</v>
      </c>
      <c r="B1" t="s">
        <v>31</v>
      </c>
      <c r="C1" t="s">
        <v>17</v>
      </c>
    </row>
    <row r="2" spans="1:3" x14ac:dyDescent="0.3">
      <c r="A2" s="7" t="s">
        <v>29</v>
      </c>
      <c r="B2" s="6">
        <v>40</v>
      </c>
      <c r="C2" s="6">
        <v>56.2</v>
      </c>
    </row>
    <row r="3" spans="1:3" x14ac:dyDescent="0.3">
      <c r="A3" s="7" t="s">
        <v>28</v>
      </c>
      <c r="B3" s="6">
        <v>44</v>
      </c>
      <c r="C3" s="6">
        <v>59.4</v>
      </c>
    </row>
    <row r="4" spans="1:3" x14ac:dyDescent="0.3">
      <c r="A4" s="7" t="s">
        <v>3</v>
      </c>
      <c r="B4" s="6">
        <v>40</v>
      </c>
      <c r="C4" s="6">
        <v>55.8</v>
      </c>
    </row>
    <row r="5" spans="1:3" x14ac:dyDescent="0.3">
      <c r="A5" s="7" t="s">
        <v>26</v>
      </c>
      <c r="B5" s="6">
        <v>51</v>
      </c>
      <c r="C5" s="6">
        <v>68.8</v>
      </c>
    </row>
    <row r="6" spans="1:3" x14ac:dyDescent="0.3">
      <c r="A6" s="7" t="s">
        <v>4</v>
      </c>
      <c r="B6" s="6">
        <v>44</v>
      </c>
      <c r="C6" s="6">
        <v>61.8</v>
      </c>
    </row>
    <row r="7" spans="1:3" x14ac:dyDescent="0.3">
      <c r="A7" s="7" t="s">
        <v>5</v>
      </c>
      <c r="B7" s="6">
        <v>42</v>
      </c>
      <c r="C7" s="6">
        <v>60.8</v>
      </c>
    </row>
    <row r="8" spans="1:3" x14ac:dyDescent="0.3">
      <c r="A8" s="7" t="s">
        <v>6</v>
      </c>
      <c r="B8" s="6">
        <v>40</v>
      </c>
      <c r="C8" s="6" t="s">
        <v>32</v>
      </c>
    </row>
    <row r="9" spans="1:3" x14ac:dyDescent="0.3">
      <c r="A9" s="7" t="s">
        <v>7</v>
      </c>
      <c r="B9" s="6">
        <v>42</v>
      </c>
      <c r="C9" s="6">
        <v>60.2</v>
      </c>
    </row>
    <row r="10" spans="1:3" x14ac:dyDescent="0.3">
      <c r="A10" s="7" t="s">
        <v>30</v>
      </c>
      <c r="B10" s="6">
        <v>38</v>
      </c>
      <c r="C10" s="6">
        <v>52.6</v>
      </c>
    </row>
    <row r="11" spans="1:3" x14ac:dyDescent="0.3">
      <c r="A11" s="7" t="s">
        <v>27</v>
      </c>
      <c r="B11" s="6">
        <v>44</v>
      </c>
      <c r="C11" s="6">
        <v>58.6</v>
      </c>
    </row>
    <row r="12" spans="1:3" x14ac:dyDescent="0.3">
      <c r="A12" s="7" t="s">
        <v>12</v>
      </c>
      <c r="B12" s="6">
        <v>40</v>
      </c>
      <c r="C12" s="6">
        <v>54.5</v>
      </c>
    </row>
    <row r="13" spans="1:3" x14ac:dyDescent="0.3">
      <c r="A13" s="7" t="s">
        <v>10</v>
      </c>
      <c r="B13" s="6">
        <v>46</v>
      </c>
      <c r="C13" s="6">
        <v>66</v>
      </c>
    </row>
    <row r="14" spans="1:3" x14ac:dyDescent="0.3">
      <c r="A14" s="7" t="s">
        <v>11</v>
      </c>
      <c r="B14" s="6">
        <v>39</v>
      </c>
      <c r="C14" s="6">
        <v>55.9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Artificial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Blue</cp:lastModifiedBy>
  <dcterms:created xsi:type="dcterms:W3CDTF">2015-06-05T18:17:20Z</dcterms:created>
  <dcterms:modified xsi:type="dcterms:W3CDTF">2026-07-07T13:28:48Z</dcterms:modified>
</cp:coreProperties>
</file>