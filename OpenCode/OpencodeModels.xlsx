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nfigs_Agents\OpenCode\"/>
    </mc:Choice>
  </mc:AlternateContent>
  <xr:revisionPtr revIDLastSave="0" documentId="13_ncr:1_{E1A16487-2AB6-467A-B4CA-E32782B024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D5" i="1"/>
  <c r="F14" i="1" s="1"/>
  <c r="C5" i="1"/>
  <c r="B5" i="1"/>
  <c r="B18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6" i="1"/>
  <c r="H6" i="1"/>
  <c r="I7" i="1"/>
  <c r="H7" i="1"/>
  <c r="I4" i="1"/>
  <c r="H4" i="1"/>
  <c r="I3" i="1"/>
  <c r="H3" i="1"/>
  <c r="I2" i="1"/>
  <c r="H2" i="1"/>
  <c r="E12" i="1" l="1"/>
  <c r="J12" i="1" s="1"/>
  <c r="E11" i="1"/>
  <c r="J11" i="1" s="1"/>
  <c r="E8" i="1"/>
  <c r="E6" i="1"/>
  <c r="E7" i="1"/>
  <c r="F10" i="1"/>
  <c r="F13" i="1"/>
  <c r="F12" i="1"/>
  <c r="F11" i="1"/>
  <c r="F7" i="1"/>
  <c r="F9" i="1"/>
  <c r="K9" i="1" s="1"/>
  <c r="F8" i="1"/>
  <c r="K8" i="1" s="1"/>
  <c r="F6" i="1"/>
  <c r="E2" i="1"/>
  <c r="E14" i="1"/>
  <c r="J14" i="1" s="1"/>
  <c r="E15" i="1"/>
  <c r="J15" i="1" s="1"/>
  <c r="F4" i="1"/>
  <c r="K4" i="1" s="1"/>
  <c r="F3" i="1"/>
  <c r="K3" i="1" s="1"/>
  <c r="E13" i="1"/>
  <c r="J13" i="1" s="1"/>
  <c r="E10" i="1"/>
  <c r="J10" i="1" s="1"/>
  <c r="E9" i="1"/>
  <c r="J9" i="1" s="1"/>
  <c r="E5" i="1"/>
  <c r="J5" i="1" s="1"/>
  <c r="E3" i="1"/>
  <c r="J3" i="1" s="1"/>
  <c r="F5" i="1"/>
  <c r="K5" i="1" s="1"/>
  <c r="E4" i="1"/>
  <c r="J4" i="1" s="1"/>
  <c r="F2" i="1"/>
  <c r="K2" i="1" s="1"/>
  <c r="F15" i="1"/>
  <c r="K15" i="1" s="1"/>
  <c r="K10" i="1"/>
  <c r="K14" i="1"/>
  <c r="K11" i="1"/>
  <c r="J6" i="1"/>
  <c r="J7" i="1"/>
  <c r="K13" i="1"/>
  <c r="K12" i="1"/>
  <c r="K6" i="1"/>
  <c r="K7" i="1"/>
  <c r="J8" i="1"/>
  <c r="J2" i="1"/>
</calcChain>
</file>

<file path=xl/sharedStrings.xml><?xml version="1.0" encoding="utf-8"?>
<sst xmlns="http://schemas.openxmlformats.org/spreadsheetml/2006/main" count="36" uniqueCount="27">
  <si>
    <t>requests per 5 hour</t>
  </si>
  <si>
    <t>requests per week</t>
  </si>
  <si>
    <t>requests per month</t>
  </si>
  <si>
    <t>GLM-5.1</t>
  </si>
  <si>
    <t>GLM-5</t>
  </si>
  <si>
    <t>Kimi K2.6</t>
  </si>
  <si>
    <t>Kimi K2.7 Code</t>
  </si>
  <si>
    <t>MiMo-V2.5</t>
  </si>
  <si>
    <t>MiMo-V2.5-Pro</t>
  </si>
  <si>
    <t>MiniMax M3</t>
  </si>
  <si>
    <t>MiniMax M2.7</t>
  </si>
  <si>
    <t>Qwen3.7 Max</t>
  </si>
  <si>
    <t>Qwen3.7 Plus</t>
  </si>
  <si>
    <t>Qwen3.6 Plus</t>
  </si>
  <si>
    <t>DeepSeek V4 Pro</t>
  </si>
  <si>
    <t>DeepSeek V4 Flash</t>
  </si>
  <si>
    <t>Model</t>
  </si>
  <si>
    <t>Column1</t>
  </si>
  <si>
    <t>Coding</t>
  </si>
  <si>
    <t>kodlama oranı</t>
  </si>
  <si>
    <t>kota oranı</t>
  </si>
  <si>
    <t>norm kod</t>
  </si>
  <si>
    <t>norm kota 5</t>
  </si>
  <si>
    <t>EK böl kota 6</t>
  </si>
  <si>
    <t>EK Böl Kod</t>
  </si>
  <si>
    <t>norm</t>
  </si>
  <si>
    <t>MiniMax M3 (3x)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</si>
</sst>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0">
    <dxf>
      <numFmt numFmtId="4" formatCode="#,##0.00"/>
    </dxf>
    <dxf>
      <numFmt numFmtId="4" formatCode="#,##0.00"/>
    </dxf>
    <dxf>
      <numFmt numFmtId="164" formatCode="#,##0.0"/>
    </dxf>
    <dxf>
      <numFmt numFmtId="4" formatCode="#,##0.00"/>
    </dxf>
    <dxf>
      <numFmt numFmtId="164" formatCode="#,##0.0"/>
    </dxf>
    <dxf>
      <numFmt numFmtId="166" formatCode="0.0"/>
    </dxf>
    <dxf>
      <numFmt numFmtId="165" formatCode="0.00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859BB-9B9A-4EC2-A38E-BACA98F6B13E}" name="Table1" displayName="Table1" ref="A1:K15" totalsRowShown="0">
  <autoFilter ref="A1:K15" xr:uid="{CC3859BB-9B9A-4EC2-A38E-BACA98F6B13E}"/>
  <sortState xmlns:xlrd2="http://schemas.microsoft.com/office/spreadsheetml/2017/richdata2" ref="A2:K15">
    <sortCondition descending="1" ref="K1:K15"/>
  </sortState>
  <tableColumns count="11">
    <tableColumn id="1" xr3:uid="{4558084D-BFD3-4096-990D-BABDB4A3F9A5}" name="Model"/>
    <tableColumn id="2" xr3:uid="{77DF4AD7-27A3-4A22-84ED-536798D59DFB}" name="requests per 5 hour" dataDxfId="9"/>
    <tableColumn id="3" xr3:uid="{968D85ED-4421-4AB0-AE6D-E50ECE878D7F}" name="requests per week" dataDxfId="8"/>
    <tableColumn id="4" xr3:uid="{389CEFA6-A786-416D-9098-1BF29A227B30}" name="requests per month" dataDxfId="7"/>
    <tableColumn id="9" xr3:uid="{98FE1845-9B6F-44C3-A0B3-7C65A82D1700}" name="norm kota 5" dataDxfId="6">
      <calculatedColumnFormula>(Table1[[#This Row],[requests per month]]-MIN(Table1[requests per month]))/(MAX(Table1[requests per month])-MIN(Table1[requests per month]))</calculatedColumnFormula>
    </tableColumn>
    <tableColumn id="12" xr3:uid="{5D7E2A26-E549-4CFD-B043-F0481B5110F6}" name="EK böl kota 6" dataDxfId="5">
      <calculatedColumnFormula>Table1[[#This Row],[requests per month]]/MIN(Table1[requests per month])</calculatedColumnFormula>
    </tableColumn>
    <tableColumn id="5" xr3:uid="{D33AC59D-2F81-400A-BD0D-DB990B819EAB}" name="Coding" dataDxfId="4"/>
    <tableColumn id="11" xr3:uid="{9BC67038-D32E-487A-B892-E1CBD2D5A5C1}" name="norm kod" dataDxfId="3">
      <calculatedColumnFormula>((Table1[[#This Row],[Coding]] - MIN(Table1[Coding])) / (MAX(Table1[Coding]) - MIN(Table1[Coding])))</calculatedColumnFormula>
    </tableColumn>
    <tableColumn id="13" xr3:uid="{1DBCEBD9-B051-4EC1-871D-57D21FFF0BCC}" name="EK Böl Kod" dataDxfId="2">
      <calculatedColumnFormula>Table1[[#This Row],[Coding]]/ MIN(Table1[Coding])</calculatedColumnFormula>
    </tableColumn>
    <tableColumn id="10" xr3:uid="{EDE10E07-3FEB-4504-8C05-B05E66499132}" name="norm" dataDxfId="1">
      <calculatedColumnFormula>$B$18*Table1[[#This Row],[norm kota 5]]+$B$17*Table1[[#This Row],[norm kod]]</calculatedColumnFormula>
    </tableColumn>
    <tableColumn id="14" xr3:uid="{3B61D66B-5DEA-4B74-AF9F-DE1BA05DA990}" name="Column1" dataDxfId="0">
      <calculatedColumnFormula>Table1[[#This Row],[EK böl kota 6]]*EXP(Table1[[#This Row],[EK Böl Kod]]*10)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60" zoomScaleNormal="160" workbookViewId="0"/>
  </sheetViews>
  <sheetFormatPr defaultRowHeight="14.4" x14ac:dyDescent="0.3"/>
  <cols>
    <col min="1" max="1" width="16.21875" bestFit="1" customWidth="1"/>
    <col min="2" max="2" width="9.44140625" customWidth="1"/>
    <col min="5" max="5" width="9.109375" customWidth="1"/>
    <col min="6" max="6" width="10.44140625" customWidth="1"/>
    <col min="7" max="8" width="10.77734375" customWidth="1"/>
    <col min="9" max="9" width="10.88671875" customWidth="1"/>
    <col min="11" max="11" width="13.6640625" customWidth="1"/>
    <col min="13" max="13" width="12.109375" customWidth="1"/>
  </cols>
  <sheetData>
    <row r="1" spans="1:11" x14ac:dyDescent="0.3">
      <c r="A1" t="s">
        <v>16</v>
      </c>
      <c r="B1" t="s">
        <v>0</v>
      </c>
      <c r="C1" t="s">
        <v>1</v>
      </c>
      <c r="D1" t="s">
        <v>2</v>
      </c>
      <c r="E1" t="s">
        <v>22</v>
      </c>
      <c r="F1" t="s">
        <v>23</v>
      </c>
      <c r="G1" t="s">
        <v>18</v>
      </c>
      <c r="H1" t="s">
        <v>21</v>
      </c>
      <c r="I1" t="s">
        <v>24</v>
      </c>
      <c r="J1" t="s">
        <v>25</v>
      </c>
      <c r="K1" t="s">
        <v>17</v>
      </c>
    </row>
    <row r="2" spans="1:11" x14ac:dyDescent="0.3">
      <c r="A2" t="s">
        <v>7</v>
      </c>
      <c r="B2" s="1">
        <v>30100</v>
      </c>
      <c r="C2" s="1">
        <v>75200</v>
      </c>
      <c r="D2" s="1">
        <v>150400</v>
      </c>
      <c r="E2" s="4">
        <f>(Table1[[#This Row],[requests per month]]-MIN(Table1[requests per month]))/(MAX(Table1[requests per month])-MIN(Table1[requests per month]))</f>
        <v>0.94962625934351641</v>
      </c>
      <c r="F2" s="5">
        <f>Table1[[#This Row],[requests per month]]/MIN(Table1[requests per month])</f>
        <v>34.97674418604651</v>
      </c>
      <c r="G2" s="2">
        <v>42.1</v>
      </c>
      <c r="H2" s="3">
        <f>((Table1[[#This Row],[Coding]] - MIN(Table1[Coding])) / (MAX(Table1[Coding]) - MIN(Table1[Coding])))</f>
        <v>0.29824561403508765</v>
      </c>
      <c r="I2" s="2">
        <f>Table1[[#This Row],[Coding]]/ MIN(Table1[Coding])</f>
        <v>1.0878552971576227</v>
      </c>
      <c r="J2" s="3">
        <f>$B$18*Table1[[#This Row],[norm kota 5]]+$B$17*Table1[[#This Row],[norm kod]]</f>
        <v>0.62393593668930203</v>
      </c>
      <c r="K2" s="3">
        <f>Table1[[#This Row],[EK böl kota 6]]*EXP(Table1[[#This Row],[EK Böl Kod]]*10)</f>
        <v>1854705.2757296057</v>
      </c>
    </row>
    <row r="3" spans="1:11" x14ac:dyDescent="0.3">
      <c r="A3" t="s">
        <v>14</v>
      </c>
      <c r="B3" s="1">
        <v>3450</v>
      </c>
      <c r="C3" s="1">
        <v>8550</v>
      </c>
      <c r="D3" s="1">
        <v>17150</v>
      </c>
      <c r="E3" s="4">
        <f>(Table1[[#This Row],[requests per month]]-MIN(Table1[requests per month]))/(MAX(Table1[requests per month])-MIN(Table1[requests per month]))</f>
        <v>8.3522911927201821E-2</v>
      </c>
      <c r="F3" s="5">
        <f>Table1[[#This Row],[requests per month]]/MIN(Table1[requests per month])</f>
        <v>3.9883720930232558</v>
      </c>
      <c r="G3" s="2">
        <v>47.5</v>
      </c>
      <c r="H3" s="3">
        <f>((Table1[[#This Row],[Coding]] - MIN(Table1[Coding])) / (MAX(Table1[Coding]) - MIN(Table1[Coding])))</f>
        <v>0.77192982456140335</v>
      </c>
      <c r="I3" s="2">
        <f>Table1[[#This Row],[Coding]]/ MIN(Table1[Coding])</f>
        <v>1.2273901808785528</v>
      </c>
      <c r="J3" s="3">
        <f>$B$18*Table1[[#This Row],[norm kota 5]]+$B$17*Table1[[#This Row],[norm kod]]</f>
        <v>0.4277263682443026</v>
      </c>
      <c r="K3" s="3">
        <f>Table1[[#This Row],[EK böl kota 6]]*EXP(Table1[[#This Row],[EK Böl Kod]]*10)</f>
        <v>853657.17666450515</v>
      </c>
    </row>
    <row r="4" spans="1:11" x14ac:dyDescent="0.3">
      <c r="A4" t="s">
        <v>12</v>
      </c>
      <c r="B4" s="1">
        <v>4300</v>
      </c>
      <c r="C4" s="1">
        <v>10800</v>
      </c>
      <c r="D4" s="1">
        <v>21600</v>
      </c>
      <c r="E4" s="4">
        <f>(Table1[[#This Row],[requests per month]]-MIN(Table1[requests per month]))/(MAX(Table1[requests per month])-MIN(Table1[requests per month]))</f>
        <v>0.11244718882027949</v>
      </c>
      <c r="F4" s="5">
        <f>Table1[[#This Row],[requests per month]]/MIN(Table1[requests per month])</f>
        <v>5.0232558139534884</v>
      </c>
      <c r="G4" s="2">
        <v>46.5</v>
      </c>
      <c r="H4" s="3">
        <f>((Table1[[#This Row],[Coding]] - MIN(Table1[Coding])) / (MAX(Table1[Coding]) - MIN(Table1[Coding])))</f>
        <v>0.68421052631578927</v>
      </c>
      <c r="I4" s="2">
        <f>Table1[[#This Row],[Coding]]/ MIN(Table1[Coding])</f>
        <v>1.2015503875968991</v>
      </c>
      <c r="J4" s="3">
        <f>$B$18*Table1[[#This Row],[norm kota 5]]+$B$17*Table1[[#This Row],[norm kod]]</f>
        <v>0.39832885756803438</v>
      </c>
      <c r="K4" s="3">
        <f>Table1[[#This Row],[EK böl kota 6]]*EXP(Table1[[#This Row],[EK Böl Kod]]*10)</f>
        <v>830333.05299905303</v>
      </c>
    </row>
    <row r="5" spans="1:11" x14ac:dyDescent="0.3">
      <c r="A5" t="s">
        <v>26</v>
      </c>
      <c r="B5" s="1">
        <f>3*3200</f>
        <v>9600</v>
      </c>
      <c r="C5" s="1">
        <f>3*8000</f>
        <v>24000</v>
      </c>
      <c r="D5" s="1">
        <f>3*16000</f>
        <v>48000</v>
      </c>
      <c r="E5" s="4">
        <f>(Table1[[#This Row],[requests per month]]-MIN(Table1[requests per month]))/(MAX(Table1[requests per month])-MIN(Table1[requests per month]))</f>
        <v>0.28404289892752682</v>
      </c>
      <c r="F5" s="5">
        <f>Table1[[#This Row],[requests per month]]/MIN(Table1[requests per month])</f>
        <v>11.162790697674419</v>
      </c>
      <c r="G5" s="2">
        <v>43.4</v>
      </c>
      <c r="H5" s="3">
        <f>((Table1[[#This Row],[Coding]] - MIN(Table1[Coding])) / (MAX(Table1[Coding]) - MIN(Table1[Coding])))</f>
        <v>0.41228070175438564</v>
      </c>
      <c r="I5" s="2">
        <f>Table1[[#This Row],[Coding]]/ MIN(Table1[Coding])</f>
        <v>1.1214470284237725</v>
      </c>
      <c r="J5" s="3">
        <f>$B$18*Table1[[#This Row],[norm kota 5]]+$B$17*Table1[[#This Row],[norm kod]]</f>
        <v>0.34816180034095623</v>
      </c>
      <c r="K5" s="3">
        <f>Table1[[#This Row],[EK böl kota 6]]*EXP(Table1[[#This Row],[EK Böl Kod]]*10)</f>
        <v>828238.36506090988</v>
      </c>
    </row>
    <row r="6" spans="1:11" hidden="1" x14ac:dyDescent="0.3">
      <c r="A6" t="s">
        <v>6</v>
      </c>
      <c r="B6" s="1">
        <v>1350</v>
      </c>
      <c r="C6" s="1">
        <v>4630</v>
      </c>
      <c r="D6" s="1">
        <v>9250</v>
      </c>
      <c r="E6" s="4">
        <f>(Table1[[#This Row],[requests per month]]-MIN(Table1[requests per month]))/(MAX(Table1[requests per month])-MIN(Table1[requests per month]))</f>
        <v>3.2174195645108872E-2</v>
      </c>
      <c r="F6" s="5">
        <f>Table1[[#This Row],[requests per month]]/MIN(Table1[requests per month])</f>
        <v>2.1511627906976742</v>
      </c>
      <c r="G6" s="2"/>
      <c r="H6" s="3">
        <f>((Table1[[#This Row],[Coding]] - MIN(Table1[Coding])) / (MAX(Table1[Coding]) - MIN(Table1[Coding])))</f>
        <v>-3.3947368421052637</v>
      </c>
      <c r="I6" s="2">
        <f>Table1[[#This Row],[Coding]]/ MIN(Table1[Coding])</f>
        <v>0</v>
      </c>
      <c r="J6" s="3">
        <f>$B$18*Table1[[#This Row],[norm kota 5]]+$B$17*Table1[[#This Row],[norm kod]]</f>
        <v>-1.6812813232300774</v>
      </c>
      <c r="K6" s="3">
        <f>Table1[[#This Row],[EK böl kota 6]]*EXP(Table1[[#This Row],[EK Böl Kod]]*10)</f>
        <v>2.1511627906976742</v>
      </c>
    </row>
    <row r="7" spans="1:11" x14ac:dyDescent="0.3">
      <c r="A7" t="s">
        <v>15</v>
      </c>
      <c r="B7" s="1">
        <v>31650</v>
      </c>
      <c r="C7" s="1">
        <v>79050</v>
      </c>
      <c r="D7" s="1">
        <v>158150</v>
      </c>
      <c r="E7" s="4">
        <f>(Table1[[#This Row],[requests per month]]-MIN(Table1[requests per month]))/(MAX(Table1[requests per month])-MIN(Table1[requests per month]))</f>
        <v>1</v>
      </c>
      <c r="F7" s="5">
        <f>Table1[[#This Row],[requests per month]]/MIN(Table1[requests per month])</f>
        <v>36.779069767441861</v>
      </c>
      <c r="G7" s="2">
        <v>38.700000000000003</v>
      </c>
      <c r="H7" s="3">
        <f>((Table1[[#This Row],[Coding]] - MIN(Table1[Coding])) / (MAX(Table1[Coding]) - MIN(Table1[Coding])))</f>
        <v>0</v>
      </c>
      <c r="I7" s="2">
        <f>Table1[[#This Row],[Coding]]/ MIN(Table1[Coding])</f>
        <v>1</v>
      </c>
      <c r="J7" s="3">
        <f>$B$18*Table1[[#This Row],[norm kota 5]]+$B$17*Table1[[#This Row],[norm kod]]</f>
        <v>0.5</v>
      </c>
      <c r="K7" s="3">
        <f>Table1[[#This Row],[EK böl kota 6]]*EXP(Table1[[#This Row],[EK Böl Kod]]*10)</f>
        <v>810112.922197368</v>
      </c>
    </row>
    <row r="8" spans="1:11" x14ac:dyDescent="0.3">
      <c r="A8" t="s">
        <v>8</v>
      </c>
      <c r="B8" s="1">
        <v>3250</v>
      </c>
      <c r="C8" s="1">
        <v>8150</v>
      </c>
      <c r="D8" s="1">
        <v>16300</v>
      </c>
      <c r="E8" s="4">
        <f>(Table1[[#This Row],[requests per month]]-MIN(Table1[requests per month]))/(MAX(Table1[requests per month])-MIN(Table1[requests per month]))</f>
        <v>7.7998050048748782E-2</v>
      </c>
      <c r="F8" s="5">
        <f>Table1[[#This Row],[requests per month]]/MIN(Table1[requests per month])</f>
        <v>3.7906976744186047</v>
      </c>
      <c r="G8" s="2">
        <v>45.5</v>
      </c>
      <c r="H8" s="3">
        <f>((Table1[[#This Row],[Coding]] - MIN(Table1[Coding])) / (MAX(Table1[Coding]) - MIN(Table1[Coding])))</f>
        <v>0.59649122807017529</v>
      </c>
      <c r="I8" s="2">
        <f>Table1[[#This Row],[Coding]]/ MIN(Table1[Coding])</f>
        <v>1.1757105943152455</v>
      </c>
      <c r="J8" s="3">
        <f>$B$18*Table1[[#This Row],[norm kota 5]]+$B$17*Table1[[#This Row],[norm kod]]</f>
        <v>0.33724463905946206</v>
      </c>
      <c r="K8" s="3">
        <f>Table1[[#This Row],[EK böl kota 6]]*EXP(Table1[[#This Row],[EK Böl Kod]]*10)</f>
        <v>483910.87600904744</v>
      </c>
    </row>
    <row r="9" spans="1:11" x14ac:dyDescent="0.3">
      <c r="A9" t="s">
        <v>11</v>
      </c>
      <c r="B9">
        <v>950</v>
      </c>
      <c r="C9" s="1">
        <v>2390</v>
      </c>
      <c r="D9" s="1">
        <v>4770</v>
      </c>
      <c r="E9" s="4">
        <f>(Table1[[#This Row],[requests per month]]-MIN(Table1[requests per month]))/(MAX(Table1[requests per month])-MIN(Table1[requests per month]))</f>
        <v>3.0549236269093272E-3</v>
      </c>
      <c r="F9" s="5">
        <f>Table1[[#This Row],[requests per month]]/MIN(Table1[requests per month])</f>
        <v>1.1093023255813954</v>
      </c>
      <c r="G9" s="2">
        <v>50.1</v>
      </c>
      <c r="H9" s="3">
        <f>((Table1[[#This Row],[Coding]] - MIN(Table1[Coding])) / (MAX(Table1[Coding]) - MIN(Table1[Coding])))</f>
        <v>1</v>
      </c>
      <c r="I9" s="2">
        <f>Table1[[#This Row],[Coding]]/ MIN(Table1[Coding])</f>
        <v>1.2945736434108526</v>
      </c>
      <c r="J9" s="3">
        <f>$B$18*Table1[[#This Row],[norm kota 5]]+$B$17*Table1[[#This Row],[norm kod]]</f>
        <v>0.50152746181345464</v>
      </c>
      <c r="K9" s="3">
        <f>Table1[[#This Row],[EK böl kota 6]]*EXP(Table1[[#This Row],[EK Böl Kod]]*10)</f>
        <v>464848.91430934734</v>
      </c>
    </row>
    <row r="10" spans="1:11" x14ac:dyDescent="0.3">
      <c r="A10" t="s">
        <v>9</v>
      </c>
      <c r="B10" s="1">
        <v>3200</v>
      </c>
      <c r="C10" s="1">
        <v>8000</v>
      </c>
      <c r="D10" s="1">
        <v>16000</v>
      </c>
      <c r="E10" s="4">
        <f>(Table1[[#This Row],[requests per month]]-MIN(Table1[requests per month]))/(MAX(Table1[requests per month])-MIN(Table1[requests per month]))</f>
        <v>7.6048098797530064E-2</v>
      </c>
      <c r="F10" s="5">
        <f>Table1[[#This Row],[requests per month]]/MIN(Table1[requests per month])</f>
        <v>3.7209302325581395</v>
      </c>
      <c r="G10" s="2">
        <v>43.4</v>
      </c>
      <c r="H10" s="3">
        <f>((Table1[[#This Row],[Coding]] - MIN(Table1[Coding])) / (MAX(Table1[Coding]) - MIN(Table1[Coding])))</f>
        <v>0.41228070175438564</v>
      </c>
      <c r="I10" s="2">
        <f>Table1[[#This Row],[Coding]]/ MIN(Table1[Coding])</f>
        <v>1.1214470284237725</v>
      </c>
      <c r="J10" s="3">
        <f>$B$18*Table1[[#This Row],[norm kota 5]]+$B$17*Table1[[#This Row],[norm kod]]</f>
        <v>0.24416440027595784</v>
      </c>
      <c r="K10" s="3">
        <f>Table1[[#This Row],[EK böl kota 6]]*EXP(Table1[[#This Row],[EK Böl Kod]]*10)</f>
        <v>276079.45502030326</v>
      </c>
    </row>
    <row r="11" spans="1:11" x14ac:dyDescent="0.3">
      <c r="A11" t="s">
        <v>5</v>
      </c>
      <c r="B11" s="1">
        <v>1150</v>
      </c>
      <c r="C11" s="1">
        <v>2880</v>
      </c>
      <c r="D11" s="1">
        <v>5750</v>
      </c>
      <c r="E11" s="4">
        <f>(Table1[[#This Row],[requests per month]]-MIN(Table1[requests per month]))/(MAX(Table1[requests per month])-MIN(Table1[requests per month]))</f>
        <v>9.4247643808904775E-3</v>
      </c>
      <c r="F11" s="5">
        <f>Table1[[#This Row],[requests per month]]/MIN(Table1[requests per month])</f>
        <v>1.3372093023255813</v>
      </c>
      <c r="G11" s="2">
        <v>47.1</v>
      </c>
      <c r="H11" s="3">
        <f>((Table1[[#This Row],[Coding]] - MIN(Table1[Coding])) / (MAX(Table1[Coding]) - MIN(Table1[Coding])))</f>
        <v>0.73684210526315785</v>
      </c>
      <c r="I11" s="2">
        <f>Table1[[#This Row],[Coding]]/ MIN(Table1[Coding])</f>
        <v>1.2170542635658914</v>
      </c>
      <c r="J11" s="3">
        <f>$B$18*Table1[[#This Row],[norm kota 5]]+$B$17*Table1[[#This Row],[norm kod]]</f>
        <v>0.37313343482202416</v>
      </c>
      <c r="K11" s="3">
        <f>Table1[[#This Row],[EK böl kota 6]]*EXP(Table1[[#This Row],[EK Böl Kod]]*10)</f>
        <v>258106.47376137713</v>
      </c>
    </row>
    <row r="12" spans="1:11" x14ac:dyDescent="0.3">
      <c r="A12" t="s">
        <v>13</v>
      </c>
      <c r="B12" s="1">
        <v>3300</v>
      </c>
      <c r="C12" s="1">
        <v>8200</v>
      </c>
      <c r="D12" s="1">
        <v>16300</v>
      </c>
      <c r="E12" s="4">
        <f>(Table1[[#This Row],[requests per month]]-MIN(Table1[requests per month]))/(MAX(Table1[requests per month])-MIN(Table1[requests per month]))</f>
        <v>7.7998050048748782E-2</v>
      </c>
      <c r="F12" s="5">
        <f>Table1[[#This Row],[requests per month]]/MIN(Table1[requests per month])</f>
        <v>3.7906976744186047</v>
      </c>
      <c r="G12" s="2">
        <v>42.9</v>
      </c>
      <c r="H12" s="3">
        <f>((Table1[[#This Row],[Coding]] - MIN(Table1[Coding])) / (MAX(Table1[Coding]) - MIN(Table1[Coding])))</f>
        <v>0.36842105263157859</v>
      </c>
      <c r="I12" s="2">
        <f>Table1[[#This Row],[Coding]]/ MIN(Table1[Coding])</f>
        <v>1.1085271317829457</v>
      </c>
      <c r="J12" s="3">
        <f>$B$18*Table1[[#This Row],[norm kota 5]]+$B$17*Table1[[#This Row],[norm kod]]</f>
        <v>0.22320955134016368</v>
      </c>
      <c r="K12" s="3">
        <f>Table1[[#This Row],[EK böl kota 6]]*EXP(Table1[[#This Row],[EK Böl Kod]]*10)</f>
        <v>247167.47021932353</v>
      </c>
    </row>
    <row r="13" spans="1:11" x14ac:dyDescent="0.3">
      <c r="A13" t="s">
        <v>10</v>
      </c>
      <c r="B13" s="1">
        <v>3400</v>
      </c>
      <c r="C13" s="1">
        <v>8500</v>
      </c>
      <c r="D13" s="1">
        <v>17000</v>
      </c>
      <c r="E13" s="4">
        <f>(Table1[[#This Row],[requests per month]]-MIN(Table1[requests per month]))/(MAX(Table1[requests per month])-MIN(Table1[requests per month]))</f>
        <v>8.2547936301592462E-2</v>
      </c>
      <c r="F13" s="5">
        <f>Table1[[#This Row],[requests per month]]/MIN(Table1[requests per month])</f>
        <v>3.9534883720930232</v>
      </c>
      <c r="G13" s="2">
        <v>41.9</v>
      </c>
      <c r="H13" s="3">
        <f>((Table1[[#This Row],[Coding]] - MIN(Table1[Coding])) / (MAX(Table1[Coding]) - MIN(Table1[Coding])))</f>
        <v>0.28070175438596456</v>
      </c>
      <c r="I13" s="2">
        <f>Table1[[#This Row],[Coding]]/ MIN(Table1[Coding])</f>
        <v>1.0826873385012918</v>
      </c>
      <c r="J13" s="3">
        <f>$B$18*Table1[[#This Row],[norm kota 5]]+$B$17*Table1[[#This Row],[norm kod]]</f>
        <v>0.18162484534377851</v>
      </c>
      <c r="K13" s="3">
        <f>Table1[[#This Row],[EK böl kota 6]]*EXP(Table1[[#This Row],[EK Böl Kod]]*10)</f>
        <v>199081.92578921453</v>
      </c>
    </row>
    <row r="14" spans="1:11" x14ac:dyDescent="0.3">
      <c r="A14" t="s">
        <v>4</v>
      </c>
      <c r="B14" s="1">
        <v>1150</v>
      </c>
      <c r="C14" s="1">
        <v>2880</v>
      </c>
      <c r="D14" s="1">
        <v>5750</v>
      </c>
      <c r="E14" s="4">
        <f>(Table1[[#This Row],[requests per month]]-MIN(Table1[requests per month]))/(MAX(Table1[requests per month])-MIN(Table1[requests per month]))</f>
        <v>9.4247643808904775E-3</v>
      </c>
      <c r="F14" s="5">
        <f>Table1[[#This Row],[requests per month]]/MIN(Table1[requests per month])</f>
        <v>1.3372093023255813</v>
      </c>
      <c r="G14" s="2">
        <v>44.2</v>
      </c>
      <c r="H14" s="3">
        <f>((Table1[[#This Row],[Coding]] - MIN(Table1[Coding])) / (MAX(Table1[Coding]) - MIN(Table1[Coding])))</f>
        <v>0.48245614035087725</v>
      </c>
      <c r="I14" s="2">
        <f>Table1[[#This Row],[Coding]]/ MIN(Table1[Coding])</f>
        <v>1.1421188630490955</v>
      </c>
      <c r="J14" s="3">
        <f>$B$18*Table1[[#This Row],[norm kota 5]]+$B$17*Table1[[#This Row],[norm kod]]</f>
        <v>0.24594045236588385</v>
      </c>
      <c r="K14" s="3">
        <f>Table1[[#This Row],[EK böl kota 6]]*EXP(Table1[[#This Row],[EK Böl Kod]]*10)</f>
        <v>121999.65094450633</v>
      </c>
    </row>
    <row r="15" spans="1:11" x14ac:dyDescent="0.3">
      <c r="A15" t="s">
        <v>3</v>
      </c>
      <c r="B15">
        <v>880</v>
      </c>
      <c r="C15" s="1">
        <v>2150</v>
      </c>
      <c r="D15" s="1">
        <v>4300</v>
      </c>
      <c r="E15" s="4">
        <f>(Table1[[#This Row],[requests per month]]-MIN(Table1[requests per month]))/(MAX(Table1[requests per month])-MIN(Table1[requests per month]))</f>
        <v>0</v>
      </c>
      <c r="F15" s="5">
        <f>Table1[[#This Row],[requests per month]]/MIN(Table1[requests per month])</f>
        <v>1</v>
      </c>
      <c r="G15" s="2">
        <v>43.4</v>
      </c>
      <c r="H15" s="3">
        <f>((Table1[[#This Row],[Coding]] - MIN(Table1[Coding])) / (MAX(Table1[Coding]) - MIN(Table1[Coding])))</f>
        <v>0.41228070175438564</v>
      </c>
      <c r="I15" s="2">
        <f>Table1[[#This Row],[Coding]]/ MIN(Table1[Coding])</f>
        <v>1.1214470284237725</v>
      </c>
      <c r="J15" s="3">
        <f>$B$18*Table1[[#This Row],[norm kota 5]]+$B$17*Table1[[#This Row],[norm kod]]</f>
        <v>0.20614035087719282</v>
      </c>
      <c r="K15" s="3">
        <f>Table1[[#This Row],[EK böl kota 6]]*EXP(Table1[[#This Row],[EK Böl Kod]]*10)</f>
        <v>74196.353536706505</v>
      </c>
    </row>
    <row r="17" spans="1:2" x14ac:dyDescent="0.3">
      <c r="A17" t="s">
        <v>19</v>
      </c>
      <c r="B17">
        <v>0.5</v>
      </c>
    </row>
    <row r="18" spans="1:2" x14ac:dyDescent="0.3">
      <c r="A18" t="s">
        <v>20</v>
      </c>
      <c r="B18">
        <f>1-B17</f>
        <v>0.5</v>
      </c>
    </row>
    <row r="22" spans="1:2" x14ac:dyDescent="0.3">
      <c r="A22" t="s">
        <v>11</v>
      </c>
    </row>
    <row r="25" spans="1:2" x14ac:dyDescent="0.3">
      <c r="A25" t="s">
        <v>14</v>
      </c>
    </row>
    <row r="26" spans="1:2" x14ac:dyDescent="0.3">
      <c r="A26" t="s">
        <v>12</v>
      </c>
    </row>
    <row r="27" spans="1:2" x14ac:dyDescent="0.3">
      <c r="A27" t="s">
        <v>6</v>
      </c>
    </row>
    <row r="28" spans="1:2" x14ac:dyDescent="0.3">
      <c r="A28" t="s">
        <v>8</v>
      </c>
    </row>
    <row r="29" spans="1:2" x14ac:dyDescent="0.3">
      <c r="A29" t="s">
        <v>5</v>
      </c>
    </row>
    <row r="31" spans="1:2" x14ac:dyDescent="0.3">
      <c r="A31" t="s">
        <v>9</v>
      </c>
    </row>
    <row r="33" spans="1:1" x14ac:dyDescent="0.3">
      <c r="A33" t="s">
        <v>7</v>
      </c>
    </row>
    <row r="34" spans="1:1" x14ac:dyDescent="0.3">
      <c r="A34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</dc:creator>
  <cp:lastModifiedBy>Blue</cp:lastModifiedBy>
  <dcterms:created xsi:type="dcterms:W3CDTF">2015-06-05T18:17:20Z</dcterms:created>
  <dcterms:modified xsi:type="dcterms:W3CDTF">2026-06-28T13:39:23Z</dcterms:modified>
</cp:coreProperties>
</file>